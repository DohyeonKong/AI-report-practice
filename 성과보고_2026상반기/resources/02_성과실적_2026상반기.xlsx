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성과지표" sheetId="1" state="visible" r:id="rId3"/>
    <sheet name="예산집행" sheetId="2" state="visible" r:id="rId4"/>
    <sheet name="참여실적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<sst xmlns="http://schemas.openxmlformats.org/spreadsheetml/2006/main" count="82" uniqueCount="59">
  <si>
    <r>
      <rPr>
        <b val="true"/>
        <sz val="12"/>
        <rFont val="Noto Sans CJK SC"/>
        <family val="2"/>
      </rPr>
      <t xml:space="preserve">한빛대학교 </t>
    </r>
    <r>
      <rPr>
        <b val="true"/>
        <sz val="12"/>
        <rFont val="Cambria"/>
        <family val="0"/>
        <charset val="1"/>
      </rPr>
      <t xml:space="preserve">2026 </t>
    </r>
    <r>
      <rPr>
        <b val="true"/>
        <sz val="12"/>
        <rFont val="Noto Sans CJK SC"/>
        <family val="2"/>
      </rPr>
      <t xml:space="preserve">상반기 성과지표 실적 </t>
    </r>
    <r>
      <rPr>
        <b val="true"/>
        <sz val="12"/>
        <rFont val="Cambria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성과관리팀 취합</t>
    </r>
    <r>
      <rPr>
        <b val="true"/>
        <sz val="12"/>
        <rFont val="Cambria"/>
        <family val="0"/>
        <charset val="1"/>
      </rPr>
      <t xml:space="preserve">)</t>
    </r>
  </si>
  <si>
    <t xml:space="preserve">지표명</t>
  </si>
  <si>
    <t xml:space="preserve">단위</t>
  </si>
  <si>
    <t xml:space="preserve">목표</t>
  </si>
  <si>
    <t xml:space="preserve">실적</t>
  </si>
  <si>
    <t xml:space="preserve">기준일</t>
  </si>
  <si>
    <t xml:space="preserve">산출근거</t>
  </si>
  <si>
    <t xml:space="preserve">담당부서</t>
  </si>
  <si>
    <t xml:space="preserve">신입생 충원율</t>
  </si>
  <si>
    <t xml:space="preserve">%</t>
  </si>
  <si>
    <t xml:space="preserve">2026-04-01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</si>
  <si>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학년도 정원 내 신입생 기준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대학알리미</t>
    </r>
    <r>
      <rPr>
        <sz val="11"/>
        <color theme="1"/>
        <rFont val="Calibri"/>
        <family val="2"/>
        <charset val="1"/>
      </rPr>
      <t xml:space="preserve">)</t>
    </r>
  </si>
  <si>
    <t xml:space="preserve">입학처</t>
  </si>
  <si>
    <t xml:space="preserve">재학생 충원율</t>
  </si>
  <si>
    <r>
      <rPr>
        <sz val="11"/>
        <color theme="1"/>
        <rFont val="Calibri"/>
        <family val="2"/>
        <charset val="1"/>
      </rPr>
      <t xml:space="preserve">2026.4.1. </t>
    </r>
    <r>
      <rPr>
        <sz val="11"/>
        <color theme="1"/>
        <rFont val="Noto Sans CJK SC"/>
        <family val="2"/>
      </rPr>
      <t xml:space="preserve">재학생 기준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대학알리미</t>
    </r>
    <r>
      <rPr>
        <sz val="11"/>
        <color theme="1"/>
        <rFont val="Calibri"/>
        <family val="2"/>
        <charset val="1"/>
      </rPr>
      <t xml:space="preserve">)</t>
    </r>
  </si>
  <si>
    <t xml:space="preserve">학사지원팀</t>
  </si>
  <si>
    <t xml:space="preserve">중도탈락률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</si>
  <si>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학년도 재적학생 대비 중도탈락 학생</t>
    </r>
  </si>
  <si>
    <t xml:space="preserve">학생처</t>
  </si>
  <si>
    <t xml:space="preserve">취업률</t>
  </si>
  <si>
    <t xml:space="preserve">2025-12-31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</si>
  <si>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년 졸업자</t>
    </r>
    <r>
      <rPr>
        <sz val="11"/>
        <color theme="1"/>
        <rFont val="Calibri"/>
        <family val="2"/>
        <charset val="1"/>
      </rPr>
      <t xml:space="preserve">, 2025.12.31. </t>
    </r>
    <r>
      <rPr>
        <sz val="11"/>
        <color theme="1"/>
        <rFont val="Noto Sans CJK SC"/>
        <family val="2"/>
      </rPr>
      <t xml:space="preserve">기준</t>
    </r>
  </si>
  <si>
    <t xml:space="preserve">취업지원센터</t>
  </si>
  <si>
    <t xml:space="preserve">비교과 프로그램 이수율</t>
  </si>
  <si>
    <t xml:space="preserve">2026-08-31</t>
  </si>
  <si>
    <r>
      <rPr>
        <sz val="11"/>
        <color theme="1"/>
        <rFont val="Noto Sans CJK SC"/>
        <family val="2"/>
      </rPr>
      <t xml:space="preserve">재학생 중 비교과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시간 이상 이수자 비율</t>
    </r>
  </si>
  <si>
    <t xml:space="preserve">교육혁신원</t>
  </si>
  <si>
    <t xml:space="preserve">교육만족도</t>
  </si>
  <si>
    <r>
      <rPr>
        <sz val="11"/>
        <color theme="1"/>
        <rFont val="Noto Sans CJK SC"/>
        <family val="2"/>
      </rPr>
      <t xml:space="preserve">점</t>
    </r>
    <r>
      <rPr>
        <sz val="11"/>
        <color theme="1"/>
        <rFont val="Calibri"/>
        <family val="2"/>
        <charset val="1"/>
      </rPr>
      <t xml:space="preserve">(5</t>
    </r>
    <r>
      <rPr>
        <sz val="11"/>
        <color theme="1"/>
        <rFont val="Noto Sans CJK SC"/>
        <family val="2"/>
      </rPr>
      <t xml:space="preserve">점 척도</t>
    </r>
    <r>
      <rPr>
        <sz val="11"/>
        <color theme="1"/>
        <rFont val="Calibri"/>
        <family val="2"/>
        <charset val="1"/>
      </rPr>
      <t xml:space="preserve">)</t>
    </r>
  </si>
  <si>
    <t xml:space="preserve">2026-07-15</t>
  </si>
  <si>
    <r>
      <rPr>
        <sz val="11"/>
        <color theme="1"/>
        <rFont val="Calibri"/>
        <family val="2"/>
        <charset val="1"/>
      </rPr>
      <t xml:space="preserve">2026-1</t>
    </r>
    <r>
      <rPr>
        <sz val="11"/>
        <color theme="1"/>
        <rFont val="Noto Sans CJK SC"/>
        <family val="2"/>
      </rPr>
      <t xml:space="preserve">학기 교육만족도 전수조사</t>
    </r>
  </si>
  <si>
    <t xml:space="preserve">전임교원 확보율</t>
  </si>
  <si>
    <r>
      <rPr>
        <sz val="11"/>
        <color theme="1"/>
        <rFont val="Noto Sans CJK SC"/>
        <family val="2"/>
      </rPr>
      <t xml:space="preserve">편제정원 대비 전임교원</t>
    </r>
    <r>
      <rPr>
        <sz val="11"/>
        <color theme="1"/>
        <rFont val="Calibri"/>
        <family val="2"/>
        <charset val="1"/>
      </rPr>
      <t xml:space="preserve">(2026.4.1.)</t>
    </r>
  </si>
  <si>
    <t xml:space="preserve">교무처</t>
  </si>
  <si>
    <t xml:space="preserve">예산 집행률</t>
  </si>
  <si>
    <r>
      <rPr>
        <sz val="11"/>
        <color theme="1"/>
        <rFont val="Noto Sans CJK SC"/>
        <family val="2"/>
      </rPr>
      <t xml:space="preserve">국고 집행액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국고 예산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상반기 목표 </t>
    </r>
    <r>
      <rPr>
        <sz val="11"/>
        <color theme="1"/>
        <rFont val="Calibri"/>
        <family val="2"/>
        <charset val="1"/>
      </rPr>
      <t xml:space="preserve">50%)</t>
    </r>
  </si>
  <si>
    <t xml:space="preserve">성과관리팀</t>
  </si>
  <si>
    <r>
      <rPr>
        <sz val="11"/>
        <color theme="1"/>
        <rFont val="Noto Sans CJK SC"/>
        <family val="2"/>
      </rPr>
      <t xml:space="preserve">※ 실적은 각 담당부서 제출값을 그대로 옮김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예산 집행률은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예산집행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시트 합계에서 자동 계산</t>
    </r>
    <r>
      <rPr>
        <sz val="11"/>
        <color theme="1"/>
        <rFont val="Calibri"/>
        <family val="2"/>
        <charset val="1"/>
      </rPr>
      <t xml:space="preserve">.</t>
    </r>
  </si>
  <si>
    <t xml:space="preserve">단위과제별 국고 예산 집행 현황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</si>
  <si>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단위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천원</t>
    </r>
    <r>
      <rPr>
        <sz val="11"/>
        <color theme="1"/>
        <rFont val="Calibri"/>
        <family val="2"/>
        <charset val="1"/>
      </rPr>
      <t xml:space="preserve">)</t>
    </r>
  </si>
  <si>
    <t xml:space="preserve">단위과제</t>
  </si>
  <si>
    <t xml:space="preserve">예산</t>
  </si>
  <si>
    <t xml:space="preserve">집행액</t>
  </si>
  <si>
    <t xml:space="preserve">집행률</t>
  </si>
  <si>
    <t xml:space="preserve">비고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</si>
  <si>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기초역량 교육</t>
    </r>
  </si>
  <si>
    <t xml:space="preserve">학생성공 통합지원센터</t>
  </si>
  <si>
    <t xml:space="preserve">비교과 마일리지 프로그램</t>
  </si>
  <si>
    <t xml:space="preserve">산학협력 캡스톤디자인</t>
  </si>
  <si>
    <r>
      <rPr>
        <sz val="11"/>
        <color theme="1"/>
        <rFont val="Noto Sans CJK SC"/>
        <family val="2"/>
      </rPr>
      <t xml:space="preserve">교수학습 혁신</t>
    </r>
    <r>
      <rPr>
        <sz val="11"/>
        <color theme="1"/>
        <rFont val="Calibri"/>
        <family val="2"/>
        <charset val="1"/>
      </rPr>
      <t xml:space="preserve">(PBL·</t>
    </r>
    <r>
      <rPr>
        <sz val="11"/>
        <color theme="1"/>
        <rFont val="Noto Sans CJK SC"/>
        <family val="2"/>
      </rPr>
      <t xml:space="preserve">플립러닝</t>
    </r>
    <r>
      <rPr>
        <sz val="11"/>
        <color theme="1"/>
        <rFont val="Calibri"/>
        <family val="2"/>
        <charset val="1"/>
      </rPr>
      <t xml:space="preserve">)</t>
    </r>
  </si>
  <si>
    <t xml:space="preserve">국제화 단기연수</t>
  </si>
  <si>
    <t xml:space="preserve">담당부서 제출자료 붙여넣음</t>
  </si>
  <si>
    <t xml:space="preserve">합계</t>
  </si>
  <si>
    <t xml:space="preserve">단위과제별 참여 실적</t>
  </si>
  <si>
    <t xml:space="preserve">달성률</t>
  </si>
  <si>
    <t xml:space="preserve">명</t>
  </si>
  <si>
    <r>
      <rPr>
        <sz val="11"/>
        <color theme="1"/>
        <rFont val="Noto Sans CJK SC"/>
        <family val="2"/>
      </rPr>
      <t xml:space="preserve">건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상담</t>
    </r>
    <r>
      <rPr>
        <sz val="11"/>
        <color theme="1"/>
        <rFont val="Calibri"/>
        <family val="2"/>
        <charset val="1"/>
      </rPr>
      <t xml:space="preserve">)</t>
    </r>
  </si>
  <si>
    <t xml:space="preserve">팀</t>
  </si>
  <si>
    <t xml:space="preserve">과목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</si>
</sst>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Noto Sans CJK SC"/>
      <family val="2"/>
    </font>
    <font>
      <b val="true"/>
      <sz val="12"/>
      <name val="Cambria"/>
      <family val="0"/>
      <charset val="1"/>
    </font>
    <font>
      <b val="true"/>
      <sz val="11"/>
      <name val="Noto Sans CJK SC"/>
      <family val="2"/>
    </font>
    <font>
      <sz val="11"/>
      <color theme="1"/>
      <name val="Noto Sans CJK SC"/>
      <family val="2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7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7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4" min="3" style="0" width="8"/>
    <col collapsed="false" customWidth="true" hidden="false" outlineLevel="0" max="5" min="5" style="0" width="12"/>
    <col collapsed="false" customWidth="true" hidden="false" outlineLevel="0" max="6" min="6" style="0" width="40"/>
    <col collapsed="false" customWidth="true" hidden="false" outlineLevel="0" max="7" min="7" style="0" width="12"/>
  </cols>
  <sheetData>
    <row r="1" customFormat="false" ht="19.4" hidden="false" customHeight="false" outlineLevel="0" collapsed="false">
      <c r="A1" s="1" t="s">
        <v>0</v>
      </c>
    </row>
    <row r="3" customFormat="false" ht="17.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7.15" hidden="false" customHeight="false" outlineLevel="0" collapsed="false">
      <c r="A4" s="3" t="s">
        <v>8</v>
      </c>
      <c r="B4" s="4" t="s">
        <v>9</v>
      </c>
      <c r="C4" s="4" t="n">
        <v>98</v>
      </c>
      <c r="D4" s="4" t="n">
        <v>97.2</v>
      </c>
      <c r="E4" s="4" t="s">
        <v>10</v>
      </c>
      <c r="F4" s="4" t="s">
        <v>11</v>
      </c>
      <c r="G4" s="3" t="s">
        <v>12</v>
      </c>
    </row>
    <row r="5" customFormat="false" ht="17.15" hidden="false" customHeight="false" outlineLevel="0" collapsed="false">
      <c r="A5" s="3" t="s">
        <v>13</v>
      </c>
      <c r="B5" s="4" t="s">
        <v>9</v>
      </c>
      <c r="C5" s="4" t="n">
        <v>95</v>
      </c>
      <c r="D5" s="4" t="n">
        <v>96.1</v>
      </c>
      <c r="E5" s="4" t="s">
        <v>10</v>
      </c>
      <c r="F5" s="4" t="s">
        <v>14</v>
      </c>
      <c r="G5" s="3" t="s">
        <v>15</v>
      </c>
    </row>
    <row r="6" customFormat="false" ht="17.15" hidden="false" customHeight="false" outlineLevel="0" collapsed="false">
      <c r="A6" s="3" t="s">
        <v>16</v>
      </c>
      <c r="B6" s="4" t="s">
        <v>9</v>
      </c>
      <c r="C6" s="4" t="n">
        <v>4.5</v>
      </c>
      <c r="D6" s="4" t="n">
        <v>4.1</v>
      </c>
      <c r="E6" s="4" t="s">
        <v>10</v>
      </c>
      <c r="F6" s="4" t="s">
        <v>17</v>
      </c>
      <c r="G6" s="3" t="s">
        <v>18</v>
      </c>
    </row>
    <row r="7" customFormat="false" ht="17.15" hidden="false" customHeight="false" outlineLevel="0" collapsed="false">
      <c r="A7" s="3" t="s">
        <v>19</v>
      </c>
      <c r="B7" s="4" t="s">
        <v>9</v>
      </c>
      <c r="C7" s="4" t="n">
        <v>66</v>
      </c>
      <c r="D7" s="4" t="n">
        <v>64.8</v>
      </c>
      <c r="E7" s="4" t="s">
        <v>20</v>
      </c>
      <c r="F7" s="4" t="s">
        <v>21</v>
      </c>
      <c r="G7" s="3" t="s">
        <v>22</v>
      </c>
    </row>
    <row r="8" customFormat="false" ht="17.15" hidden="false" customHeight="false" outlineLevel="0" collapsed="false">
      <c r="A8" s="3" t="s">
        <v>23</v>
      </c>
      <c r="B8" s="4" t="s">
        <v>9</v>
      </c>
      <c r="C8" s="4" t="n">
        <v>40</v>
      </c>
      <c r="D8" s="4" t="n">
        <v>43.5</v>
      </c>
      <c r="E8" s="4" t="s">
        <v>24</v>
      </c>
      <c r="F8" s="3" t="s">
        <v>25</v>
      </c>
      <c r="G8" s="3" t="s">
        <v>26</v>
      </c>
    </row>
    <row r="9" customFormat="false" ht="17.15" hidden="false" customHeight="false" outlineLevel="0" collapsed="false">
      <c r="A9" s="3" t="s">
        <v>27</v>
      </c>
      <c r="B9" s="3" t="s">
        <v>28</v>
      </c>
      <c r="C9" s="4" t="n">
        <v>4</v>
      </c>
      <c r="D9" s="4" t="n">
        <v>4.12</v>
      </c>
      <c r="E9" s="4" t="s">
        <v>29</v>
      </c>
      <c r="F9" s="4" t="s">
        <v>30</v>
      </c>
      <c r="G9" s="3" t="s">
        <v>26</v>
      </c>
    </row>
    <row r="10" customFormat="false" ht="17.15" hidden="false" customHeight="false" outlineLevel="0" collapsed="false">
      <c r="A10" s="3" t="s">
        <v>31</v>
      </c>
      <c r="B10" s="4" t="s">
        <v>9</v>
      </c>
      <c r="C10" s="4" t="n">
        <v>80</v>
      </c>
      <c r="D10" s="4" t="n">
        <v>81.3</v>
      </c>
      <c r="E10" s="4" t="s">
        <v>10</v>
      </c>
      <c r="F10" s="3" t="s">
        <v>32</v>
      </c>
      <c r="G10" s="3" t="s">
        <v>33</v>
      </c>
    </row>
    <row r="11" customFormat="false" ht="17.15" hidden="false" customHeight="false" outlineLevel="0" collapsed="false">
      <c r="A11" s="3" t="s">
        <v>34</v>
      </c>
      <c r="B11" s="4" t="s">
        <v>9</v>
      </c>
      <c r="C11" s="4" t="n">
        <v>50</v>
      </c>
      <c r="D11" s="4" t="n">
        <f aca="false">ROUND(예산집행!D10*100,1)</f>
        <v>29.6</v>
      </c>
      <c r="E11" s="4" t="s">
        <v>24</v>
      </c>
      <c r="F11" s="3" t="s">
        <v>35</v>
      </c>
      <c r="G11" s="3" t="s">
        <v>36</v>
      </c>
    </row>
    <row r="13" customFormat="false" ht="17.15" hidden="false" customHeight="false" outlineLevel="0" collapsed="false">
      <c r="A13" s="5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10"/>
    <col collapsed="false" customWidth="true" hidden="false" outlineLevel="0" max="5" min="5" style="0" width="26"/>
  </cols>
  <sheetData>
    <row r="1" customFormat="false" ht="17.15" hidden="false" customHeight="false" outlineLevel="0" collapsed="false">
      <c r="A1" s="1" t="s">
        <v>38</v>
      </c>
      <c r="E1" s="6" t="s">
        <v>39</v>
      </c>
    </row>
    <row r="3" customFormat="false" ht="17.15" hidden="false" customHeight="false" outlineLevel="0" collapsed="false">
      <c r="A3" s="2" t="s">
        <v>40</v>
      </c>
      <c r="B3" s="2" t="s">
        <v>41</v>
      </c>
      <c r="C3" s="2" t="s">
        <v>42</v>
      </c>
      <c r="D3" s="2" t="s">
        <v>43</v>
      </c>
      <c r="E3" s="2" t="s">
        <v>44</v>
      </c>
    </row>
    <row r="4" customFormat="false" ht="17.15" hidden="false" customHeight="false" outlineLevel="0" collapsed="false">
      <c r="A4" s="4" t="s">
        <v>45</v>
      </c>
      <c r="B4" s="7" t="n">
        <v>850000</v>
      </c>
      <c r="C4" s="7" t="n">
        <v>512300</v>
      </c>
      <c r="D4" s="8" t="n">
        <f aca="false">C4/B4</f>
        <v>0.602705882352941</v>
      </c>
      <c r="E4" s="4"/>
    </row>
    <row r="5" customFormat="false" ht="15" hidden="false" customHeight="false" outlineLevel="0" collapsed="false">
      <c r="A5" s="3" t="s">
        <v>46</v>
      </c>
      <c r="B5" s="7" t="n">
        <v>1100000</v>
      </c>
      <c r="C5" s="7" t="n">
        <v>498600</v>
      </c>
      <c r="D5" s="8" t="n">
        <f aca="false">C5/B5</f>
        <v>0.453272727272727</v>
      </c>
      <c r="E5" s="4"/>
    </row>
    <row r="6" customFormat="false" ht="15" hidden="false" customHeight="false" outlineLevel="0" collapsed="false">
      <c r="A6" s="3" t="s">
        <v>47</v>
      </c>
      <c r="B6" s="7" t="n">
        <v>620000</v>
      </c>
      <c r="C6" s="7" t="n">
        <v>341000</v>
      </c>
      <c r="D6" s="8" t="n">
        <f aca="false">C6/B6</f>
        <v>0.55</v>
      </c>
      <c r="E6" s="4"/>
    </row>
    <row r="7" customFormat="false" ht="15" hidden="false" customHeight="false" outlineLevel="0" collapsed="false">
      <c r="A7" s="3" t="s">
        <v>48</v>
      </c>
      <c r="B7" s="7" t="n">
        <v>780000</v>
      </c>
      <c r="C7" s="7" t="n">
        <v>290400</v>
      </c>
      <c r="D7" s="8" t="n">
        <f aca="false">C7/B7</f>
        <v>0.372307692307692</v>
      </c>
      <c r="E7" s="4"/>
    </row>
    <row r="8" customFormat="false" ht="17.15" hidden="false" customHeight="false" outlineLevel="0" collapsed="false">
      <c r="A8" s="3" t="s">
        <v>49</v>
      </c>
      <c r="B8" s="7" t="n">
        <v>450000</v>
      </c>
      <c r="C8" s="7" t="n">
        <v>205700</v>
      </c>
      <c r="D8" s="8" t="n">
        <f aca="false">C8/B8</f>
        <v>0.457111111111111</v>
      </c>
      <c r="E8" s="4"/>
    </row>
    <row r="9" customFormat="false" ht="15" hidden="false" customHeight="false" outlineLevel="0" collapsed="false">
      <c r="A9" s="3" t="s">
        <v>50</v>
      </c>
      <c r="B9" s="7" t="n">
        <v>400000000</v>
      </c>
      <c r="C9" s="7" t="n">
        <v>117800000</v>
      </c>
      <c r="D9" s="8" t="n">
        <f aca="false">C9/B9</f>
        <v>0.2945</v>
      </c>
      <c r="E9" s="3" t="s">
        <v>51</v>
      </c>
    </row>
    <row r="10" customFormat="false" ht="15" hidden="false" customHeight="false" outlineLevel="0" collapsed="false">
      <c r="A10" s="9" t="s">
        <v>52</v>
      </c>
      <c r="B10" s="10" t="n">
        <f aca="false">SUM(B4:B9)</f>
        <v>403800000</v>
      </c>
      <c r="C10" s="10" t="n">
        <f aca="false">SUM(C4:C9)</f>
        <v>119648000</v>
      </c>
      <c r="D10" s="11" t="n">
        <f aca="false">C10/B10</f>
        <v>0.296305101535414</v>
      </c>
      <c r="E10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0"/>
  </cols>
  <sheetData>
    <row r="1" customFormat="false" ht="15" hidden="false" customHeight="false" outlineLevel="0" collapsed="false">
      <c r="A1" s="1" t="s">
        <v>53</v>
      </c>
    </row>
    <row r="3" customFormat="false" ht="17.15" hidden="false" customHeight="false" outlineLevel="0" collapsed="false">
      <c r="A3" s="2" t="s">
        <v>40</v>
      </c>
      <c r="B3" s="2" t="s">
        <v>4</v>
      </c>
      <c r="C3" s="2" t="s">
        <v>2</v>
      </c>
      <c r="D3" s="2" t="s">
        <v>3</v>
      </c>
      <c r="E3" s="2" t="s">
        <v>54</v>
      </c>
    </row>
    <row r="4" customFormat="false" ht="17.15" hidden="false" customHeight="false" outlineLevel="0" collapsed="false">
      <c r="A4" s="4" t="s">
        <v>45</v>
      </c>
      <c r="B4" s="4" t="n">
        <v>1240</v>
      </c>
      <c r="C4" s="3" t="s">
        <v>55</v>
      </c>
      <c r="D4" s="4" t="n">
        <v>1000</v>
      </c>
      <c r="E4" s="8" t="n">
        <f aca="false">B4/D4</f>
        <v>1.24</v>
      </c>
    </row>
    <row r="5" customFormat="false" ht="17.15" hidden="false" customHeight="false" outlineLevel="0" collapsed="false">
      <c r="A5" s="3" t="s">
        <v>46</v>
      </c>
      <c r="B5" s="4" t="n">
        <v>2310</v>
      </c>
      <c r="C5" s="3" t="s">
        <v>56</v>
      </c>
      <c r="D5" s="4" t="n">
        <v>2000</v>
      </c>
      <c r="E5" s="8" t="n">
        <f aca="false">B5/D5</f>
        <v>1.155</v>
      </c>
    </row>
    <row r="6" customFormat="false" ht="15" hidden="false" customHeight="false" outlineLevel="0" collapsed="false">
      <c r="A6" s="3" t="s">
        <v>47</v>
      </c>
      <c r="B6" s="4" t="n">
        <v>3105</v>
      </c>
      <c r="C6" s="3" t="s">
        <v>55</v>
      </c>
      <c r="D6" s="4" t="n">
        <v>2800</v>
      </c>
      <c r="E6" s="8" t="n">
        <f aca="false">B6/D6</f>
        <v>1.10892857142857</v>
      </c>
    </row>
    <row r="7" customFormat="false" ht="15" hidden="false" customHeight="false" outlineLevel="0" collapsed="false">
      <c r="A7" s="3" t="s">
        <v>48</v>
      </c>
      <c r="B7" s="4" t="n">
        <v>48</v>
      </c>
      <c r="C7" s="3" t="s">
        <v>57</v>
      </c>
      <c r="D7" s="4" t="n">
        <v>60</v>
      </c>
      <c r="E7" s="8" t="n">
        <f aca="false">B7/D7</f>
        <v>0.8</v>
      </c>
    </row>
    <row r="8" customFormat="false" ht="17.15" hidden="false" customHeight="false" outlineLevel="0" collapsed="false">
      <c r="A8" s="3" t="s">
        <v>49</v>
      </c>
      <c r="B8" s="4" t="n">
        <v>36</v>
      </c>
      <c r="C8" s="3" t="s">
        <v>58</v>
      </c>
      <c r="D8" s="4" t="n">
        <v>40</v>
      </c>
      <c r="E8" s="8" t="n">
        <f aca="false">B8/D8</f>
        <v>0.9</v>
      </c>
    </row>
    <row r="9" customFormat="false" ht="15" hidden="false" customHeight="false" outlineLevel="0" collapsed="false">
      <c r="A9" s="3" t="s">
        <v>50</v>
      </c>
      <c r="B9" s="4" t="n">
        <v>22</v>
      </c>
      <c r="C9" s="3" t="s">
        <v>55</v>
      </c>
      <c r="D9" s="4" t="n">
        <v>60</v>
      </c>
      <c r="E9" s="8" t="n">
        <f aca="false">B9/D9</f>
        <v>0.366666666666667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2026-10-06T05:53:54Z</dcterms:created>
  <dc:creator>openpyxl</dc:creator>
  <dc:description/>
  <dc:language>en-US</dc:language>
  <cp:lastModifiedBy/>
  <dcterms:modified xsi:type="dcterms:W3CDTF">2026-10-06T05:53:54Z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